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功能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<sst xmlns="http://schemas.openxmlformats.org/spreadsheetml/2006/main" count="92" uniqueCount="92">
  <si>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序号</t>
  </si>
  <si>
    <t>终端类型</t>
  </si>
  <si>
    <t>一级模块</t>
  </si>
  <si>
    <t>二级模块</t>
  </si>
  <si>
    <t>功能描述</t>
  </si>
  <si>
    <t>工程量（人日）</t>
  </si>
  <si>
    <t>工时合计（人月）</t>
  </si>
  <si>
    <t>单价（元/人月）</t>
  </si>
  <si>
    <t>总价（元）</t>
  </si>
  <si>
    <t>项目产品UI</t>
  </si>
  <si>
    <t>前后端开发</t>
  </si>
  <si>
    <t>测试上线部署</t>
  </si>
  <si>
    <t>PC端</t>
  </si>
  <si>
    <t>人员档案及实名中心</t>
  </si>
  <si>
    <t>人员档案</t>
  </si>
  <si>
    <t>总览人员实名、合同、在岗状态，维护详细信息</t>
  </si>
  <si>
    <t>认证管理</t>
  </si>
  <si>
    <t>查询人脸采集、活体检测核验记录，身份证手机信息登记，电子签名录入，提供人工审核通道</t>
  </si>
  <si>
    <t>状态管理</t>
  </si>
  <si>
    <t>管理状态流（预注册→已实名→已签约→已进场→已离场）及黑名单</t>
  </si>
  <si>
    <t>电子合同 及签约中心</t>
  </si>
  <si>
    <t>合同模板</t>
  </si>
  <si>
    <t>模板上传，可视化模板显示，版本控制</t>
  </si>
  <si>
    <t>合同发起</t>
  </si>
  <si>
    <t>按项目、班组、个人批量发起签约任务，设置截止时间与逾期提醒</t>
  </si>
  <si>
    <t>签约状态</t>
  </si>
  <si>
    <t>实时查看合同签署进度，查看已签署合同PDF及存证信息</t>
  </si>
  <si>
    <t>合同归档</t>
  </si>
  <si>
    <t>按项目、人员、时间等多维度检索合同，支持下载、作废</t>
  </si>
  <si>
    <t>考勤与工时管理</t>
  </si>
  <si>
    <t>考勤数据接入</t>
  </si>
  <si>
    <t>支持Excel批量导入，数据自动清洗与排重</t>
  </si>
  <si>
    <t>工时报表</t>
  </si>
  <si>
    <t>生成个人/班组/项目维度工时汇总报表，支持自定义周期统计与导出</t>
  </si>
  <si>
    <t>智能结算中心</t>
  </si>
  <si>
    <t>结算单生成与确认</t>
  </si>
  <si>
    <t>基于工时生成待确认结算单，项目管理人员在线审核与调整，填写应发放金额，已发放金额，批量推送</t>
  </si>
  <si>
    <t>薪资报表与成本分析</t>
  </si>
  <si>
    <t>生成项目人力成本月度报表、个人薪资历史记录查询、薪酬构成分析</t>
  </si>
  <si>
    <t>项目现场管理</t>
  </si>
  <si>
    <t>离场登记</t>
  </si>
  <si>
    <t>更改在场状态，或根据业务规则，结算确认后，状态变为离场</t>
  </si>
  <si>
    <t>在岗人员实时看板</t>
  </si>
  <si>
    <t>大屏视图展示当日各项目/班组在岗人数、人员在场详情</t>
  </si>
  <si>
    <t>综合数据分析</t>
  </si>
  <si>
    <t>综合数据看板</t>
  </si>
  <si>
    <t>展示核心KPI（总人数、实名率、合同签约率、在岗率），关键数据趋势图</t>
  </si>
  <si>
    <t>系统管理</t>
  </si>
  <si>
    <t>用户管理</t>
  </si>
  <si>
    <t>支持账号创建，批量导入用户信息，启用 / 禁用 / 重置密码，支持离职人员账号快速注销</t>
  </si>
  <si>
    <t>组织管理</t>
  </si>
  <si>
    <t>支持公司、项目部、标段、班组层级创建与维护，实现数据隔离</t>
  </si>
  <si>
    <t>权限分配</t>
  </si>
  <si>
    <t>预定义角色与自定义角色，支持菜单、按钮、数据范围的细粒度权限分配</t>
  </si>
  <si>
    <t>操作日志</t>
  </si>
  <si>
    <t>系统记录操作人、操作时间、操作模块、操作内容、操作结果</t>
  </si>
  <si>
    <t>微信H5</t>
  </si>
  <si>
    <t>我的认证</t>
  </si>
  <si>
    <t>扫码激活/工号查询</t>
  </si>
  <si>
    <t>扫描个人专属二维码或通过工号+姓名查询进入激活流程</t>
  </si>
  <si>
    <t>人脸实名认证</t>
  </si>
  <si>
    <t>人脸活体检测，人脸照片采集与上传</t>
  </si>
  <si>
    <t>信息补全与绑定</t>
  </si>
  <si>
    <t>补录完整身份证号，绑定本人手机号，录入签名信息</t>
  </si>
  <si>
    <t>我的合同</t>
  </si>
  <si>
    <t>待签合同列表</t>
  </si>
  <si>
    <t>查看合同名称、项目、发起方、截止时间</t>
  </si>
  <si>
    <t>合同签署</t>
  </si>
  <si>
    <t>签署前二次人脸验证，合同全文阅读（强制时长），确认合同信息提交</t>
  </si>
  <si>
    <t>已签合同查阅</t>
  </si>
  <si>
    <t>查看、下载已签署的PDF合同</t>
  </si>
  <si>
    <t>我的考勤</t>
  </si>
  <si>
    <t>每日考勤记录</t>
  </si>
  <si>
    <t>日历视图展示每日出勤情况，查看每日上下班时间、工时</t>
  </si>
  <si>
    <t>我的薪资</t>
  </si>
  <si>
    <t>待确认结算单</t>
  </si>
  <si>
    <t>查看结算周期、总金额，人脸验证后确认或驳回</t>
  </si>
  <si>
    <t>薪资历史记录</t>
  </si>
  <si>
    <t>按月查看历史发薪记录，查看并下载电子工资条详情</t>
  </si>
  <si>
    <t>个人中心</t>
  </si>
  <si>
    <t>个人信息维护</t>
  </si>
  <si>
    <t>查看个人数字档案，修改登录密码、手机号（需验证）</t>
  </si>
  <si>
    <t>消息通知中心</t>
  </si>
  <si>
    <t>接收合同待签、结算单待确认、工资发放成功等系统通知</t>
  </si>
  <si>
    <t>（一）</t>
  </si>
  <si>
    <t>系统开发费用</t>
  </si>
  <si>
    <t>（二）</t>
  </si>
  <si>
    <t>服务器等资源费用</t>
  </si>
  <si>
    <t>（三）</t>
  </si>
  <si>
    <t>第三方服务费用（人脸验证比对暂估费）</t>
  </si>
  <si>
    <t>总计（一）+（二）+（三）</t>
  </si>
  <si>
    <r>
      <t>本报价包含以下内容：</t>
    </r>
    <r>
      <rPr>
        <sz val="11"/>
        <color theme="1"/>
        <rFont val="宋体"/>
        <charset val="134"/>
        <scheme val="minor"/>
      </rPr>
      <t xml:space="preserve">
1.系统开发及一年运维：涵盖需求分析、设计、开发、测试、上线及首年技术支持和缺陷修复。
2.不包含的第三方平台与资源费用：
- 微信小程序认证与年费：小程序官方认证及年审费用。
- 服务器与云资源：系统运行所需的服务器、数据库、带宽、存储等云服务费用。
- 通信与接口费用：短信发送服务费，及可能用到的签名签章、地图等第三方API调用费用。
3.不包含扩展对接与新增需求：与子公司或其他外部系统的数据对接、超出原定范围的重大功能新增或变更，需另行评估报价。
4.以确认需求为基准：报价基于已确认的功能范围。后续若需求变更，可能影响费用与工期，双方需另行协商。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</si>
</sst>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0" fontId="0" fillId="0" borderId="4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right" vertical="center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NumberFormat="1">
      <alignment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176" fontId="0" fillId="2" borderId="2" xfId="0" applyNumberFormat="1" applyFill="1" applyBorder="1" applyAlignment="1">
      <alignment horizontal="right" vertical="center"/>
    </xf>
    <xf numFmtId="176" fontId="0" fillId="2" borderId="3" xfId="0" applyNumberForma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176" fontId="2" fillId="2" borderId="2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6"/>
  <sheetViews>
    <sheetView tabSelected="1" zoomScale="115" zoomScaleNormal="115" workbookViewId="0">
      <pane ySplit="2" topLeftCell="A19" activePane="bottomLeft" state="frozen"/>
      <selection/>
      <selection pane="bottomLeft" activeCell="E23" sqref="E23"/>
    </sheetView>
  </sheetViews>
  <sheetFormatPr defaultColWidth="8.72727272727273" defaultRowHeight="14"/>
  <cols>
    <col min="2" max="2" width="13.7272727272727" customWidth="1"/>
    <col min="3" max="3" width="9.45454545454546" style="2" customWidth="1"/>
    <col min="4" max="4" width="9.63636363636364" style="2" customWidth="1"/>
    <col min="5" max="5" width="87.3636363636364" style="1" customWidth="1"/>
    <col min="6" max="8" width="7.63636363636364" customWidth="1"/>
    <col min="9" max="9" width="10" customWidth="1"/>
    <col min="10" max="10" width="9" customWidth="1"/>
    <col min="11" max="11" width="12.6363636363636" customWidth="1"/>
    <col min="14" max="14" width="12.8181818181818"/>
  </cols>
  <sheetData>
    <row r="1" s="1" customFormat="1" ht="23" customHeight="1" spans="1:1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5"/>
      <c r="H1" s="5"/>
      <c r="I1" s="3" t="s">
        <v>6</v>
      </c>
      <c r="J1" s="3" t="s">
        <v>7</v>
      </c>
      <c r="K1" s="3" t="s">
        <v>8</v>
      </c>
    </row>
    <row r="2" s="1" customFormat="1" ht="28" customHeight="1" spans="1:11">
      <c r="A2" s="6"/>
      <c r="B2" s="6"/>
      <c r="C2" s="7"/>
      <c r="D2" s="7"/>
      <c r="E2" s="6"/>
      <c r="F2" s="8" t="s">
        <v>9</v>
      </c>
      <c r="G2" s="8" t="s">
        <v>10</v>
      </c>
      <c r="H2" s="8" t="s">
        <v>11</v>
      </c>
      <c r="I2" s="6"/>
      <c r="J2" s="6"/>
      <c r="K2" s="6"/>
    </row>
    <row r="3" ht="30" customHeight="1" spans="1:11">
      <c r="A3" s="9">
        <v>1</v>
      </c>
      <c r="B3" s="10" t="s">
        <v>12</v>
      </c>
      <c r="C3" s="11" t="s">
        <v>13</v>
      </c>
      <c r="D3" s="11" t="s">
        <v>14</v>
      </c>
      <c r="E3" s="12" t="s">
        <v>15</v>
      </c>
      <c r="F3" s="13">
        <v>3</v>
      </c>
      <c r="G3" s="13">
        <v>7</v>
      </c>
      <c r="H3" s="13">
        <v>5</v>
      </c>
      <c r="I3" s="14">
        <f>SUM(F3:H3)/21.75</f>
        <v>0.689655172413793</v>
      </c>
      <c r="J3" s="13">
        <v>18000</v>
      </c>
      <c r="K3" s="14">
        <f>I3*J3</f>
        <v>12413.7931034483</v>
      </c>
    </row>
    <row r="4" ht="30" customHeight="1" spans="1:11">
      <c r="A4" s="9">
        <v>2</v>
      </c>
      <c r="B4" s="10"/>
      <c r="C4" s="15"/>
      <c r="D4" s="16" t="s">
        <v>16</v>
      </c>
      <c r="E4" s="12" t="s">
        <v>17</v>
      </c>
      <c r="F4" s="13">
        <v>3</v>
      </c>
      <c r="G4" s="13">
        <v>7</v>
      </c>
      <c r="H4" s="13">
        <v>5</v>
      </c>
      <c r="I4" s="14">
        <f>SUM(F4:H4)/21.75</f>
        <v>0.689655172413793</v>
      </c>
      <c r="J4" s="13">
        <v>18000</v>
      </c>
      <c r="K4" s="14">
        <f>I4*J4</f>
        <v>12413.7931034483</v>
      </c>
    </row>
    <row r="5" ht="30" customHeight="1" spans="1:11">
      <c r="A5" s="9">
        <v>3</v>
      </c>
      <c r="B5" s="10"/>
      <c r="C5" s="15"/>
      <c r="D5" s="16" t="s">
        <v>18</v>
      </c>
      <c r="E5" s="12" t="s">
        <v>19</v>
      </c>
      <c r="F5" s="13">
        <v>5</v>
      </c>
      <c r="G5" s="13">
        <v>10</v>
      </c>
      <c r="H5" s="13">
        <v>7</v>
      </c>
      <c r="I5" s="14">
        <f>SUM(F5:H5)/21.75</f>
        <v>1.01149425287356</v>
      </c>
      <c r="J5" s="17">
        <v>18000</v>
      </c>
      <c r="K5" s="14">
        <f>I5*J5</f>
        <v>18206.8965517241</v>
      </c>
    </row>
    <row r="6" ht="30" customHeight="1" spans="1:11">
      <c r="A6" s="9">
        <v>4</v>
      </c>
      <c r="B6" s="10"/>
      <c r="C6" s="11" t="s">
        <v>20</v>
      </c>
      <c r="D6" s="11" t="s">
        <v>21</v>
      </c>
      <c r="E6" s="12" t="s">
        <v>22</v>
      </c>
      <c r="F6" s="13">
        <v>3</v>
      </c>
      <c r="G6" s="13">
        <v>7</v>
      </c>
      <c r="H6" s="13">
        <v>5</v>
      </c>
      <c r="I6" s="14">
        <f>SUM(F6:H6)/21.75</f>
        <v>0.689655172413793</v>
      </c>
      <c r="J6" s="13">
        <v>18000</v>
      </c>
      <c r="K6" s="14">
        <f>I6*J6</f>
        <v>12413.7931034483</v>
      </c>
    </row>
    <row r="7" ht="30" customHeight="1" spans="1:11">
      <c r="A7" s="9">
        <v>5</v>
      </c>
      <c r="B7" s="10"/>
      <c r="C7" s="15"/>
      <c r="D7" s="11" t="s">
        <v>23</v>
      </c>
      <c r="E7" s="12" t="s">
        <v>24</v>
      </c>
      <c r="F7" s="13">
        <v>3</v>
      </c>
      <c r="G7" s="13">
        <v>7</v>
      </c>
      <c r="H7" s="13">
        <v>5</v>
      </c>
      <c r="I7" s="14">
        <f>SUM(F7:H7)/21.75</f>
        <v>0.689655172413793</v>
      </c>
      <c r="J7" s="13">
        <v>18000</v>
      </c>
      <c r="K7" s="14">
        <f>I7*J7</f>
        <v>12413.7931034483</v>
      </c>
    </row>
    <row r="8" ht="30" customHeight="1" spans="1:11">
      <c r="A8" s="9">
        <v>6</v>
      </c>
      <c r="B8" s="10"/>
      <c r="C8" s="15"/>
      <c r="D8" s="11" t="s">
        <v>25</v>
      </c>
      <c r="E8" s="12" t="s">
        <v>26</v>
      </c>
      <c r="F8" s="13">
        <v>3</v>
      </c>
      <c r="G8" s="13">
        <v>7</v>
      </c>
      <c r="H8" s="13">
        <v>5</v>
      </c>
      <c r="I8" s="14">
        <f>SUM(F8:H8)/21.75</f>
        <v>0.689655172413793</v>
      </c>
      <c r="J8" s="13">
        <v>18000</v>
      </c>
      <c r="K8" s="14">
        <f>I8*J8</f>
        <v>12413.7931034483</v>
      </c>
    </row>
    <row r="9" ht="30" customHeight="1" spans="1:11">
      <c r="A9" s="9">
        <v>7</v>
      </c>
      <c r="B9" s="10"/>
      <c r="C9" s="15"/>
      <c r="D9" s="11" t="s">
        <v>27</v>
      </c>
      <c r="E9" s="12" t="s">
        <v>28</v>
      </c>
      <c r="F9" s="13">
        <v>3</v>
      </c>
      <c r="G9" s="13">
        <v>7</v>
      </c>
      <c r="H9" s="13">
        <v>5</v>
      </c>
      <c r="I9" s="14">
        <f>SUM(F9:H9)/21.75</f>
        <v>0.689655172413793</v>
      </c>
      <c r="J9" s="13">
        <v>18000</v>
      </c>
      <c r="K9" s="14">
        <f>I9*J9</f>
        <v>12413.7931034483</v>
      </c>
    </row>
    <row r="10" ht="30" customHeight="1" spans="1:11">
      <c r="A10" s="9">
        <v>8</v>
      </c>
      <c r="B10" s="10"/>
      <c r="C10" s="11" t="s">
        <v>29</v>
      </c>
      <c r="D10" s="16" t="s">
        <v>30</v>
      </c>
      <c r="E10" s="12" t="s">
        <v>31</v>
      </c>
      <c r="F10" s="13">
        <v>3</v>
      </c>
      <c r="G10" s="13">
        <v>10</v>
      </c>
      <c r="H10" s="13">
        <v>7</v>
      </c>
      <c r="I10" s="14">
        <f>SUM(F10:H10)/21.75</f>
        <v>0.919540229885057</v>
      </c>
      <c r="J10" s="13">
        <v>18000</v>
      </c>
      <c r="K10" s="14">
        <f>I10*J10</f>
        <v>16551.724137931</v>
      </c>
    </row>
    <row r="11" ht="30" customHeight="1" spans="1:11">
      <c r="A11" s="9">
        <v>9</v>
      </c>
      <c r="B11" s="10"/>
      <c r="C11" s="18"/>
      <c r="D11" s="16" t="s">
        <v>32</v>
      </c>
      <c r="E11" s="12" t="s">
        <v>33</v>
      </c>
      <c r="F11" s="13">
        <v>3</v>
      </c>
      <c r="G11" s="13">
        <v>7</v>
      </c>
      <c r="H11" s="13">
        <v>5</v>
      </c>
      <c r="I11" s="14">
        <f>SUM(F11:H11)/21.75</f>
        <v>0.689655172413793</v>
      </c>
      <c r="J11" s="17">
        <v>18000</v>
      </c>
      <c r="K11" s="14">
        <f>I11*J11</f>
        <v>12413.7931034483</v>
      </c>
    </row>
    <row r="12" ht="30" customHeight="1" spans="1:11">
      <c r="A12" s="9">
        <v>10</v>
      </c>
      <c r="B12" s="10"/>
      <c r="C12" s="11" t="s">
        <v>34</v>
      </c>
      <c r="D12" s="16" t="s">
        <v>35</v>
      </c>
      <c r="E12" s="12" t="s">
        <v>36</v>
      </c>
      <c r="F12" s="13">
        <v>3</v>
      </c>
      <c r="G12" s="13">
        <v>7</v>
      </c>
      <c r="H12" s="13">
        <v>5</v>
      </c>
      <c r="I12" s="14">
        <f>SUM(F12:H12)/21.75</f>
        <v>0.689655172413793</v>
      </c>
      <c r="J12" s="13">
        <v>18000</v>
      </c>
      <c r="K12" s="14">
        <f>I12*J12</f>
        <v>12413.7931034483</v>
      </c>
    </row>
    <row r="13" ht="30" customHeight="1" spans="1:11">
      <c r="A13" s="9">
        <v>11</v>
      </c>
      <c r="B13" s="10"/>
      <c r="C13" s="18"/>
      <c r="D13" s="16" t="s">
        <v>37</v>
      </c>
      <c r="E13" s="12" t="s">
        <v>38</v>
      </c>
      <c r="F13" s="13">
        <v>3</v>
      </c>
      <c r="G13" s="13">
        <v>7</v>
      </c>
      <c r="H13" s="13">
        <v>5</v>
      </c>
      <c r="I13" s="14">
        <f>SUM(F13:H13)/21.75</f>
        <v>0.689655172413793</v>
      </c>
      <c r="J13" s="17">
        <v>18000</v>
      </c>
      <c r="K13" s="14">
        <f>I13*J13</f>
        <v>12413.7931034483</v>
      </c>
    </row>
    <row r="14" ht="30" customHeight="1" spans="1:11">
      <c r="A14" s="9">
        <v>12</v>
      </c>
      <c r="B14" s="10"/>
      <c r="C14" s="19" t="s">
        <v>39</v>
      </c>
      <c r="D14" s="16" t="s">
        <v>40</v>
      </c>
      <c r="E14" s="12" t="s">
        <v>41</v>
      </c>
      <c r="F14" s="13">
        <v>3</v>
      </c>
      <c r="G14" s="13">
        <v>7</v>
      </c>
      <c r="H14" s="13">
        <v>5</v>
      </c>
      <c r="I14" s="14">
        <f t="shared" ref="I14:I31" si="0">SUM(F14:H14)/21.75</f>
        <v>0.689655172413793</v>
      </c>
      <c r="J14" s="13">
        <v>18000</v>
      </c>
      <c r="K14" s="14">
        <f>I14*J14</f>
        <v>12413.7931034483</v>
      </c>
    </row>
    <row r="15" ht="30" customHeight="1" spans="1:11">
      <c r="A15" s="9">
        <v>13</v>
      </c>
      <c r="B15" s="10"/>
      <c r="C15" s="19"/>
      <c r="D15" s="16" t="s">
        <v>42</v>
      </c>
      <c r="E15" s="12" t="s">
        <v>43</v>
      </c>
      <c r="F15" s="13">
        <v>3</v>
      </c>
      <c r="G15" s="13">
        <v>7</v>
      </c>
      <c r="H15" s="13">
        <v>5</v>
      </c>
      <c r="I15" s="14">
        <f t="shared" si="0"/>
        <v>0.689655172413793</v>
      </c>
      <c r="J15" s="17">
        <v>18000</v>
      </c>
      <c r="K15" s="14">
        <f>I15*J15</f>
        <v>12413.7931034483</v>
      </c>
    </row>
    <row r="16" ht="30" customHeight="1" spans="1:11">
      <c r="A16" s="9">
        <v>14</v>
      </c>
      <c r="B16" s="10"/>
      <c r="C16" s="20" t="s">
        <v>44</v>
      </c>
      <c r="D16" s="16" t="s">
        <v>45</v>
      </c>
      <c r="E16" s="12" t="s">
        <v>46</v>
      </c>
      <c r="F16" s="13">
        <v>5</v>
      </c>
      <c r="G16" s="13">
        <v>7</v>
      </c>
      <c r="H16" s="13">
        <v>5</v>
      </c>
      <c r="I16" s="14">
        <f t="shared" si="0"/>
        <v>0.781609195402299</v>
      </c>
      <c r="J16" s="13">
        <v>18000</v>
      </c>
      <c r="K16" s="14">
        <f>I16*J16</f>
        <v>14068.9655172414</v>
      </c>
    </row>
    <row r="17" ht="30" customHeight="1" spans="1:14">
      <c r="A17" s="9">
        <v>15</v>
      </c>
      <c r="B17" s="10"/>
      <c r="C17" s="11" t="s">
        <v>47</v>
      </c>
      <c r="D17" s="16" t="s">
        <v>48</v>
      </c>
      <c r="E17" s="12" t="s">
        <v>49</v>
      </c>
      <c r="F17" s="13">
        <v>3</v>
      </c>
      <c r="G17" s="13">
        <v>7</v>
      </c>
      <c r="H17" s="13">
        <v>5</v>
      </c>
      <c r="I17" s="14">
        <f t="shared" si="0"/>
        <v>0.689655172413793</v>
      </c>
      <c r="J17" s="17">
        <v>18000</v>
      </c>
      <c r="K17" s="14">
        <f>I17*J17</f>
        <v>12413.7931034483</v>
      </c>
    </row>
    <row r="18" ht="30" customHeight="1" spans="1:14">
      <c r="A18" s="9">
        <v>16</v>
      </c>
      <c r="B18" s="10"/>
      <c r="C18" s="15"/>
      <c r="D18" s="16" t="s">
        <v>50</v>
      </c>
      <c r="E18" s="12" t="s">
        <v>51</v>
      </c>
      <c r="F18" s="13">
        <v>3</v>
      </c>
      <c r="G18" s="13">
        <v>7</v>
      </c>
      <c r="H18" s="13">
        <v>5</v>
      </c>
      <c r="I18" s="14">
        <f t="shared" si="0"/>
        <v>0.689655172413793</v>
      </c>
      <c r="J18" s="13">
        <v>18000</v>
      </c>
      <c r="K18" s="14">
        <f>I18*J18</f>
        <v>12413.7931034483</v>
      </c>
    </row>
    <row r="19" ht="30" customHeight="1" spans="1:14">
      <c r="A19" s="9">
        <v>17</v>
      </c>
      <c r="B19" s="10"/>
      <c r="C19" s="15"/>
      <c r="D19" s="16" t="s">
        <v>52</v>
      </c>
      <c r="E19" s="12" t="s">
        <v>53</v>
      </c>
      <c r="F19" s="13">
        <v>3</v>
      </c>
      <c r="G19" s="13">
        <v>7</v>
      </c>
      <c r="H19" s="13">
        <v>5</v>
      </c>
      <c r="I19" s="14">
        <f t="shared" si="0"/>
        <v>0.689655172413793</v>
      </c>
      <c r="J19" s="17">
        <v>18000</v>
      </c>
      <c r="K19" s="14">
        <f>I19*J19</f>
        <v>12413.7931034483</v>
      </c>
    </row>
    <row r="20" ht="30" customHeight="1" spans="1:14">
      <c r="A20" s="9">
        <v>18</v>
      </c>
      <c r="B20" s="10"/>
      <c r="C20" s="15"/>
      <c r="D20" s="16" t="s">
        <v>54</v>
      </c>
      <c r="E20" s="12" t="s">
        <v>55</v>
      </c>
      <c r="F20" s="13">
        <v>3</v>
      </c>
      <c r="G20" s="13">
        <v>7</v>
      </c>
      <c r="H20" s="13">
        <v>5</v>
      </c>
      <c r="I20" s="14">
        <f t="shared" si="0"/>
        <v>0.689655172413793</v>
      </c>
      <c r="J20" s="13">
        <v>18000</v>
      </c>
      <c r="K20" s="14">
        <f>I20*J20</f>
        <v>12413.7931034483</v>
      </c>
    </row>
    <row r="21" ht="30" customHeight="1" spans="1:14">
      <c r="A21" s="9">
        <v>19</v>
      </c>
      <c r="B21" s="21" t="s">
        <v>56</v>
      </c>
      <c r="C21" s="22" t="s">
        <v>57</v>
      </c>
      <c r="D21" s="23" t="s">
        <v>58</v>
      </c>
      <c r="E21" s="12" t="s">
        <v>59</v>
      </c>
      <c r="F21" s="13">
        <v>5</v>
      </c>
      <c r="G21" s="13">
        <v>10</v>
      </c>
      <c r="H21" s="13">
        <v>7</v>
      </c>
      <c r="I21" s="14">
        <f t="shared" si="0"/>
        <v>1.01149425287356</v>
      </c>
      <c r="J21" s="17">
        <v>18000</v>
      </c>
      <c r="K21" s="14">
        <f>I21*J21</f>
        <v>18206.8965517241</v>
      </c>
    </row>
    <row r="22" ht="30" customHeight="1" spans="1:14">
      <c r="A22" s="9">
        <v>20</v>
      </c>
      <c r="B22" s="24"/>
      <c r="C22" s="20"/>
      <c r="D22" s="25" t="s">
        <v>60</v>
      </c>
      <c r="E22" s="12" t="s">
        <v>61</v>
      </c>
      <c r="F22" s="13">
        <v>5</v>
      </c>
      <c r="G22" s="13">
        <v>10</v>
      </c>
      <c r="H22" s="13">
        <v>7</v>
      </c>
      <c r="I22" s="14">
        <f t="shared" si="0"/>
        <v>1.01149425287356</v>
      </c>
      <c r="J22" s="13">
        <v>18000</v>
      </c>
      <c r="K22" s="14">
        <f>I22*J22</f>
        <v>18206.8965517241</v>
      </c>
    </row>
    <row r="23" ht="30" customHeight="1" spans="1:14">
      <c r="A23" s="9">
        <v>21</v>
      </c>
      <c r="B23" s="24"/>
      <c r="C23" s="20"/>
      <c r="D23" s="25" t="s">
        <v>62</v>
      </c>
      <c r="E23" s="12" t="s">
        <v>63</v>
      </c>
      <c r="F23" s="13">
        <v>3</v>
      </c>
      <c r="G23" s="13">
        <v>7</v>
      </c>
      <c r="H23" s="13">
        <v>5</v>
      </c>
      <c r="I23" s="14">
        <f t="shared" si="0"/>
        <v>0.689655172413793</v>
      </c>
      <c r="J23" s="17">
        <v>18000</v>
      </c>
      <c r="K23" s="14">
        <f>I23*J23</f>
        <v>12413.7931034483</v>
      </c>
    </row>
    <row r="24" ht="30" customHeight="1" spans="1:14">
      <c r="A24" s="9">
        <v>22</v>
      </c>
      <c r="B24" s="10"/>
      <c r="C24" s="22" t="s">
        <v>64</v>
      </c>
      <c r="D24" s="26" t="s">
        <v>65</v>
      </c>
      <c r="E24" s="12" t="s">
        <v>66</v>
      </c>
      <c r="F24" s="13">
        <v>3</v>
      </c>
      <c r="G24" s="13">
        <v>7</v>
      </c>
      <c r="H24" s="13">
        <v>5</v>
      </c>
      <c r="I24" s="14">
        <f t="shared" si="0"/>
        <v>0.689655172413793</v>
      </c>
      <c r="J24" s="13">
        <v>18000</v>
      </c>
      <c r="K24" s="14">
        <f>I24*J24</f>
        <v>12413.7931034483</v>
      </c>
    </row>
    <row r="25" ht="30" customHeight="1" spans="1:14">
      <c r="A25" s="9">
        <v>23</v>
      </c>
      <c r="B25" s="10"/>
      <c r="C25" s="20"/>
      <c r="D25" s="26" t="s">
        <v>67</v>
      </c>
      <c r="E25" s="12" t="s">
        <v>68</v>
      </c>
      <c r="F25" s="13">
        <v>5</v>
      </c>
      <c r="G25" s="13">
        <v>10</v>
      </c>
      <c r="H25" s="13">
        <v>7</v>
      </c>
      <c r="I25" s="14">
        <f t="shared" si="0"/>
        <v>1.01149425287356</v>
      </c>
      <c r="J25" s="17">
        <v>18000</v>
      </c>
      <c r="K25" s="14">
        <f>I25*J25</f>
        <v>18206.8965517241</v>
      </c>
    </row>
    <row r="26" ht="30" customHeight="1" spans="1:14">
      <c r="A26" s="9">
        <v>24</v>
      </c>
      <c r="B26" s="10"/>
      <c r="C26" s="20"/>
      <c r="D26" s="27" t="s">
        <v>69</v>
      </c>
      <c r="E26" s="12" t="s">
        <v>70</v>
      </c>
      <c r="F26" s="13">
        <v>3</v>
      </c>
      <c r="G26" s="13">
        <v>7</v>
      </c>
      <c r="H26" s="13">
        <v>5</v>
      </c>
      <c r="I26" s="14">
        <f t="shared" si="0"/>
        <v>0.689655172413793</v>
      </c>
      <c r="J26" s="13">
        <v>18000</v>
      </c>
      <c r="K26" s="14">
        <f>I26*J26</f>
        <v>12413.7931034483</v>
      </c>
    </row>
    <row r="27" ht="30" customHeight="1" spans="1:14">
      <c r="A27" s="9">
        <v>25</v>
      </c>
      <c r="B27" s="10"/>
      <c r="C27" s="19" t="s">
        <v>71</v>
      </c>
      <c r="D27" s="27" t="s">
        <v>72</v>
      </c>
      <c r="E27" s="12" t="s">
        <v>73</v>
      </c>
      <c r="F27" s="13">
        <v>3</v>
      </c>
      <c r="G27" s="13">
        <v>7</v>
      </c>
      <c r="H27" s="13">
        <v>5</v>
      </c>
      <c r="I27" s="14">
        <f t="shared" si="0"/>
        <v>0.689655172413793</v>
      </c>
      <c r="J27" s="17">
        <v>18000</v>
      </c>
      <c r="K27" s="14">
        <f>I27*J27</f>
        <v>12413.7931034483</v>
      </c>
    </row>
    <row r="28" ht="30" customHeight="1" spans="1:14">
      <c r="A28" s="9">
        <v>26</v>
      </c>
      <c r="B28" s="10"/>
      <c r="C28" s="22" t="s">
        <v>74</v>
      </c>
      <c r="D28" s="23" t="s">
        <v>75</v>
      </c>
      <c r="E28" s="12" t="s">
        <v>76</v>
      </c>
      <c r="F28" s="13">
        <v>5</v>
      </c>
      <c r="G28" s="13">
        <v>10</v>
      </c>
      <c r="H28" s="13">
        <v>7</v>
      </c>
      <c r="I28" s="14">
        <f t="shared" si="0"/>
        <v>1.01149425287356</v>
      </c>
      <c r="J28" s="13">
        <v>18000</v>
      </c>
      <c r="K28" s="14">
        <f>I28*J28</f>
        <v>18206.8965517241</v>
      </c>
    </row>
    <row r="29" ht="30" customHeight="1" spans="1:14">
      <c r="A29" s="9">
        <v>27</v>
      </c>
      <c r="B29" s="10"/>
      <c r="C29" s="20"/>
      <c r="D29" s="25" t="s">
        <v>77</v>
      </c>
      <c r="E29" s="28" t="s">
        <v>78</v>
      </c>
      <c r="F29" s="13">
        <v>3</v>
      </c>
      <c r="G29" s="13">
        <v>7</v>
      </c>
      <c r="H29" s="13">
        <v>5</v>
      </c>
      <c r="I29" s="14">
        <f t="shared" si="0"/>
        <v>0.689655172413793</v>
      </c>
      <c r="J29" s="17">
        <v>18000</v>
      </c>
      <c r="K29" s="14">
        <f>I29*J29</f>
        <v>12413.7931034483</v>
      </c>
    </row>
    <row r="30" ht="30" customHeight="1" spans="1:14">
      <c r="A30" s="9">
        <v>28</v>
      </c>
      <c r="B30" s="10"/>
      <c r="C30" s="22" t="s">
        <v>79</v>
      </c>
      <c r="D30" s="25" t="s">
        <v>80</v>
      </c>
      <c r="E30" s="28" t="s">
        <v>81</v>
      </c>
      <c r="F30" s="13">
        <v>3</v>
      </c>
      <c r="G30" s="13">
        <v>7</v>
      </c>
      <c r="H30" s="13">
        <v>5</v>
      </c>
      <c r="I30" s="14">
        <f t="shared" si="0"/>
        <v>0.689655172413793</v>
      </c>
      <c r="J30" s="13">
        <v>18000</v>
      </c>
      <c r="K30" s="14">
        <f>I30*J30</f>
        <v>12413.7931034483</v>
      </c>
    </row>
    <row r="31" ht="30" customHeight="1" spans="1:14">
      <c r="A31" s="9">
        <v>29</v>
      </c>
      <c r="B31" s="10"/>
      <c r="C31" s="29"/>
      <c r="D31" s="26" t="s">
        <v>82</v>
      </c>
      <c r="E31" s="30" t="s">
        <v>83</v>
      </c>
      <c r="F31" s="13">
        <v>5</v>
      </c>
      <c r="G31" s="13">
        <v>10</v>
      </c>
      <c r="H31" s="13">
        <v>7</v>
      </c>
      <c r="I31" s="14">
        <f t="shared" si="0"/>
        <v>1.01149425287356</v>
      </c>
      <c r="J31" s="17">
        <v>18000</v>
      </c>
      <c r="K31" s="14">
        <f>I31*J31</f>
        <v>18206.8965517241</v>
      </c>
      <c r="N31" s="31"/>
    </row>
    <row r="32" ht="30" customHeight="1" spans="1:14">
      <c r="A32" s="32" t="s">
        <v>84</v>
      </c>
      <c r="B32" s="33"/>
      <c r="C32" s="32" t="s">
        <v>85</v>
      </c>
      <c r="D32" s="34"/>
      <c r="E32" s="33"/>
      <c r="F32" s="35"/>
      <c r="G32" s="35"/>
      <c r="H32" s="35"/>
      <c r="I32" s="36"/>
      <c r="J32" s="35"/>
      <c r="K32" s="37">
        <f>SUM(K3:K31)</f>
        <v>400551.724137931</v>
      </c>
    </row>
    <row r="33" ht="30" customHeight="1" spans="1:11">
      <c r="A33" s="38" t="s">
        <v>86</v>
      </c>
      <c r="B33" s="38"/>
      <c r="C33" s="34" t="s">
        <v>87</v>
      </c>
      <c r="D33" s="34"/>
      <c r="E33" s="33"/>
      <c r="F33" s="35"/>
      <c r="G33" s="35"/>
      <c r="H33" s="35"/>
      <c r="I33" s="36"/>
      <c r="J33" s="35"/>
      <c r="K33" s="37">
        <v>0</v>
      </c>
    </row>
    <row r="34" ht="30" customHeight="1" spans="1:11">
      <c r="A34" s="38" t="s">
        <v>88</v>
      </c>
      <c r="B34" s="38"/>
      <c r="C34" s="39" t="s">
        <v>89</v>
      </c>
      <c r="D34" s="39"/>
      <c r="E34" s="40"/>
      <c r="F34" s="35"/>
      <c r="G34" s="35"/>
      <c r="H34" s="35"/>
      <c r="I34" s="36"/>
      <c r="J34" s="35"/>
      <c r="K34" s="37">
        <v>5000</v>
      </c>
    </row>
    <row r="35" ht="30" customHeight="1" spans="1:11">
      <c r="A35" s="41" t="s">
        <v>90</v>
      </c>
      <c r="B35" s="42"/>
      <c r="C35" s="43"/>
      <c r="D35" s="43"/>
      <c r="E35" s="44"/>
      <c r="F35" s="45"/>
      <c r="G35" s="45"/>
      <c r="H35" s="45"/>
      <c r="I35" s="45"/>
      <c r="J35" s="45"/>
      <c r="K35" s="46">
        <f>K32+K33+K34</f>
        <v>405551.724137931</v>
      </c>
    </row>
    <row r="36" ht="127" customHeight="1" spans="1:11">
      <c r="A36" s="47" t="s">
        <v>91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</sheetData>
  <mergeCells count="29">
    <mergeCell ref="F1:H1"/>
    <mergeCell ref="A32:B32"/>
    <mergeCell ref="C32:E32"/>
    <mergeCell ref="A33:B33"/>
    <mergeCell ref="C33:E33"/>
    <mergeCell ref="A34:B34"/>
    <mergeCell ref="C34:E34"/>
    <mergeCell ref="A35:E35"/>
    <mergeCell ref="A36:K36"/>
    <mergeCell ref="A1:A2"/>
    <mergeCell ref="B1:B2"/>
    <mergeCell ref="B3:B20"/>
    <mergeCell ref="B21:B31"/>
    <mergeCell ref="C1:C2"/>
    <mergeCell ref="C3:C5"/>
    <mergeCell ref="C6:C9"/>
    <mergeCell ref="C10:C11"/>
    <mergeCell ref="C12:C13"/>
    <mergeCell ref="C14:C15"/>
    <mergeCell ref="C17:C20"/>
    <mergeCell ref="C21:C23"/>
    <mergeCell ref="C24:C26"/>
    <mergeCell ref="C28:C29"/>
    <mergeCell ref="C30:C31"/>
    <mergeCell ref="D1:D2"/>
    <mergeCell ref="E1:E2"/>
    <mergeCell ref="I1:I2"/>
    <mergeCell ref="J1:J2"/>
    <mergeCell ref="K1:K2"/>
  </mergeCells>
  <pageMargins left="0.75" right="0.75" top="1" bottom="1" header="0.5" footer="0.5"/>
  <pageSetup paperSize="9" scale="6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19006</dc:creator>
  <cp:lastModifiedBy>wons</cp:lastModifiedBy>
  <dcterms:created xsi:type="dcterms:W3CDTF">2026-01-29T01:12:00Z</dcterms:created>
  <dcterms:modified xsi:type="dcterms:W3CDTF">2026-03-02T06:19:23Z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4DB4CC0B745147028C5DCFA19AD89166_11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